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aniy\Desktop\"/>
    </mc:Choice>
  </mc:AlternateContent>
  <bookViews>
    <workbookView xWindow="0" yWindow="0" windowWidth="19200" windowHeight="7050"/>
  </bookViews>
  <sheets>
    <sheet name="Binary Classifier" sheetId="1" r:id="rId1"/>
    <sheet name="multiclassifier" sheetId="7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8" i="7" l="1"/>
  <c r="M4" i="1"/>
  <c r="M5" i="1"/>
  <c r="M6" i="1"/>
  <c r="M7" i="1"/>
  <c r="M8" i="1"/>
  <c r="M9" i="1"/>
  <c r="M10" i="1"/>
  <c r="M11" i="1"/>
  <c r="M12" i="1"/>
  <c r="M13" i="1"/>
  <c r="M14" i="1"/>
  <c r="M3" i="1"/>
  <c r="L4" i="1"/>
  <c r="L5" i="1"/>
  <c r="L6" i="1"/>
  <c r="L7" i="1"/>
  <c r="L8" i="1"/>
  <c r="L9" i="1"/>
  <c r="L10" i="1"/>
  <c r="L11" i="1"/>
  <c r="L12" i="1"/>
  <c r="L13" i="1"/>
  <c r="L14" i="1"/>
  <c r="L3" i="1"/>
  <c r="K4" i="1"/>
  <c r="K5" i="1"/>
  <c r="K6" i="1"/>
  <c r="K7" i="1"/>
  <c r="K8" i="1"/>
  <c r="K9" i="1"/>
  <c r="K10" i="1"/>
  <c r="K11" i="1"/>
  <c r="K12" i="1"/>
  <c r="K13" i="1"/>
  <c r="K14" i="1"/>
  <c r="K3" i="1"/>
  <c r="J4" i="1"/>
  <c r="J5" i="1"/>
  <c r="J6" i="1"/>
  <c r="J7" i="1"/>
  <c r="J8" i="1"/>
  <c r="J9" i="1"/>
  <c r="J10" i="1"/>
  <c r="J11" i="1"/>
  <c r="J12" i="1"/>
  <c r="J13" i="1"/>
  <c r="J14" i="1"/>
  <c r="J3" i="1"/>
  <c r="I4" i="1"/>
  <c r="I5" i="1"/>
  <c r="I6" i="1"/>
  <c r="I7" i="1"/>
  <c r="I8" i="1"/>
  <c r="I9" i="1"/>
  <c r="I10" i="1"/>
  <c r="I11" i="1"/>
  <c r="I12" i="1"/>
  <c r="I13" i="1"/>
  <c r="I14" i="1"/>
  <c r="I3" i="1"/>
</calcChain>
</file>

<file path=xl/sharedStrings.xml><?xml version="1.0" encoding="utf-8"?>
<sst xmlns="http://schemas.openxmlformats.org/spreadsheetml/2006/main" count="117" uniqueCount="30">
  <si>
    <t>Human</t>
  </si>
  <si>
    <t>AI</t>
  </si>
  <si>
    <t>TP</t>
  </si>
  <si>
    <t>FP</t>
  </si>
  <si>
    <t>TN</t>
  </si>
  <si>
    <t>FN</t>
  </si>
  <si>
    <t>Training Time</t>
  </si>
  <si>
    <t>Accuracy</t>
  </si>
  <si>
    <t>Precision</t>
  </si>
  <si>
    <t>FPR</t>
  </si>
  <si>
    <t>Specificity/TNR</t>
  </si>
  <si>
    <t xml:space="preserve">Recall (Sensitivity) </t>
  </si>
  <si>
    <t>Test Image #</t>
  </si>
  <si>
    <t>Test Image#</t>
  </si>
  <si>
    <t>Confusion Matrix</t>
  </si>
  <si>
    <t>P</t>
  </si>
  <si>
    <t>N</t>
  </si>
  <si>
    <t>60 images</t>
  </si>
  <si>
    <t>42 train</t>
  </si>
  <si>
    <t>18 test</t>
  </si>
  <si>
    <t>P(+|A)</t>
  </si>
  <si>
    <t>40 images</t>
  </si>
  <si>
    <t>28 train</t>
  </si>
  <si>
    <t>12 test</t>
  </si>
  <si>
    <t>Dog or Not Dog</t>
  </si>
  <si>
    <t>Poisonous</t>
  </si>
  <si>
    <t>Not Poisonous</t>
  </si>
  <si>
    <t>Edible</t>
  </si>
  <si>
    <t>Drinkable</t>
  </si>
  <si>
    <t>10s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</si>
</sst>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0"/>
      <color rgb="FF006100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2"/>
      <color rgb="FF00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3" fillId="3" borderId="0" applyNumberFormat="0" applyBorder="0" applyAlignment="0" applyProtection="0"/>
    <xf numFmtId="0" fontId="4" fillId="4" borderId="0" applyNumberFormat="0" applyBorder="0" applyAlignment="0" applyProtection="0"/>
  </cellStyleXfs>
  <cellXfs count="3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4" fillId="4" borderId="1" xfId="2" applyBorder="1" applyAlignment="1">
      <alignment horizontal="center" vertical="center"/>
    </xf>
    <xf numFmtId="0" fontId="0" fillId="0" borderId="0" xfId="0" applyAlignment="1">
      <alignment horizontal="center"/>
    </xf>
    <xf numFmtId="16" fontId="0" fillId="0" borderId="0" xfId="0" applyNumberFormat="1"/>
    <xf numFmtId="0" fontId="2" fillId="5" borderId="1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vertical="center"/>
    </xf>
    <xf numFmtId="0" fontId="0" fillId="6" borderId="0" xfId="0" applyFill="1"/>
    <xf numFmtId="0" fontId="0" fillId="7" borderId="0" xfId="0" applyFill="1"/>
    <xf numFmtId="0" fontId="1" fillId="2" borderId="2" xfId="0" applyFont="1" applyFill="1" applyBorder="1" applyAlignment="1">
      <alignment horizontal="center" vertical="center"/>
    </xf>
    <xf numFmtId="0" fontId="0" fillId="0" borderId="0" xfId="0" applyBorder="1"/>
    <xf numFmtId="0" fontId="0" fillId="0" borderId="0" xfId="0" applyBorder="1" applyAlignment="1">
      <alignment horizontal="center" vertical="center"/>
    </xf>
    <xf numFmtId="0" fontId="0" fillId="6" borderId="1" xfId="0" applyFill="1" applyBorder="1" applyAlignment="1">
      <alignment horizontal="center"/>
    </xf>
    <xf numFmtId="0" fontId="2" fillId="6" borderId="1" xfId="0" applyFont="1" applyFill="1" applyBorder="1" applyAlignment="1">
      <alignment horizontal="center" vertical="center" wrapText="1"/>
    </xf>
    <xf numFmtId="0" fontId="0" fillId="6" borderId="1" xfId="0" applyFill="1" applyBorder="1" applyAlignment="1">
      <alignment vertical="center"/>
    </xf>
    <xf numFmtId="0" fontId="4" fillId="4" borderId="1" xfId="2" applyBorder="1" applyAlignment="1">
      <alignment horizontal="center" vertical="center" wrapText="1"/>
    </xf>
    <xf numFmtId="0" fontId="4" fillId="4" borderId="1" xfId="2" applyBorder="1" applyAlignment="1">
      <alignment vertical="center"/>
    </xf>
    <xf numFmtId="0" fontId="3" fillId="3" borderId="0" xfId="1"/>
    <xf numFmtId="0" fontId="5" fillId="0" borderId="0" xfId="0" applyFont="1"/>
    <xf numFmtId="0" fontId="0" fillId="8" borderId="0" xfId="0" applyFill="1" applyBorder="1" applyAlignment="1">
      <alignment horizontal="center"/>
    </xf>
    <xf numFmtId="0" fontId="0" fillId="8" borderId="0" xfId="0" applyFill="1" applyAlignment="1">
      <alignment horizontal="center"/>
    </xf>
    <xf numFmtId="0" fontId="0" fillId="0" borderId="0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3" borderId="0" xfId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5" xfId="0" applyBorder="1" applyAlignment="1">
      <alignment vertical="center"/>
    </xf>
  </cellXfs>
  <cellStyles count="3">
    <cellStyle name="Bad" xfId="2" builtinId="27"/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ROC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'Binary Classifier'!$I$3:$I$14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1</c:v>
                </c:pt>
                <c:pt idx="11">
                  <c:v>0</c:v>
                </c:pt>
              </c:numCache>
            </c:numRef>
          </c:xVal>
          <c:yVal>
            <c:numRef>
              <c:f>'Binary Classifier'!$J$3:$J$14</c:f>
              <c:numCache>
                <c:formatCode>General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2C7-4349-A9F6-FF21851F88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003648"/>
        <c:axId val="15912848"/>
      </c:scatterChart>
      <c:valAx>
        <c:axId val="100036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FPR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12848"/>
        <c:crosses val="autoZero"/>
        <c:crossBetween val="midCat"/>
      </c:valAx>
      <c:valAx>
        <c:axId val="15912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TPR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036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PRC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'Binary Classifier'!$J$3:$J$14</c:f>
              <c:numCache>
                <c:formatCode>General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xVal>
          <c:yVal>
            <c:numRef>
              <c:f>'Binary Classifier'!$K$3:$K$14</c:f>
              <c:numCache>
                <c:formatCode>General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03C-48FE-8D40-25BB26A4A5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747568"/>
        <c:axId val="15906608"/>
      </c:scatterChart>
      <c:valAx>
        <c:axId val="15747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Recall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06608"/>
        <c:crosses val="autoZero"/>
        <c:crossBetween val="midCat"/>
      </c:valAx>
      <c:valAx>
        <c:axId val="15906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Precision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47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0</xdr:colOff>
      <xdr:row>22</xdr:row>
      <xdr:rowOff>0</xdr:rowOff>
    </xdr:from>
    <xdr:to>
      <xdr:col>17</xdr:col>
      <xdr:colOff>304800</xdr:colOff>
      <xdr:row>23</xdr:row>
      <xdr:rowOff>104775</xdr:rowOff>
    </xdr:to>
    <xdr:sp macro="" textlink="">
      <xdr:nvSpPr>
        <xdr:cNvPr id="2049" name="AutoShape 1" descr="data:image/png;charset=utf-8;base64,iVBORw0KGgoAAAANSUhEUgAAATsAAABVCAYAAAA2VUNZAAAAAXNSR0IArs4c6QAAAARnQU1BAACxjwv8YQUAAAAJcEhZcwAADsMAAA7DAcdvqGQAAAfQSURBVHhe7dyNkeNEFEXhyYEMSIAEiIAIyIAMyIAUiIEQyIEUiGFTAJ8ZLvvqVbfU2vGOtdb5qrp2Rz8t2Tt9/bpleJEkSZIkSZIkSZIkSZIkSdI375/F9setxY+3Vvf9fGvVr7dW93O8JD1MQotwir9vjW3fvf708vLTrfHzL68/fUbAJcxqEMZvt8Y+zpekhyLACLcg4Aioug1s++Htr/8j7P76r7H/+1urCNDejyQ9BAFVQypV3O+vP31WK7+gcqOiSwXXK78/b633I0mnkLW2vgY3QkXH8VR8nNOruE+31gNQkk6Baozg6lPWLtPdPHjIVDbnJQD3+pGkhyCgqMj2ZLqbhxhUcPzMlBZ5eCFJp5NqjOpuD9NXqrlg3a8GJWt1K/1I0odLdTZ6GNERZKnigocVnE/Vx/rdSj+S9OGoxgirlS8Ac1x/iFGf5Cb0JOl0qMYIqT35IvLo4QPTWPbRsp4naYL1H6qDDD6aVcLXlapsJaQyXR2FXb5z55eJdTd8uvZAoLGWcvZgyD2PpktMjer3s1j34ee6AP6eimHr2leVSq22Gf49to7LvxO/m9K75dOTX7wMfH5hM4VY+ULoo+SJ3+iTP4NutLCdxfP3DKKta0s6ma3F3+w781oJn/yE2mgKRAjNKjeO5zzO/1Jb186Xac/83kmXkcqnfr+poiIa/d8nvgX5Euojpj95X7/V9056OqncnvHLmllL++j1Riq5/KdOZ57+S5eSqRbBsDfdyroejZDkeCq/hArTxa3Bzb5cL9ccraWB6SHXS2ikfyql3Gftq/7H4YRbnu7Vxjb6zf3SRtNP+qe/2j+Nn3P87Nq8xtp/bbyW+oSSVl8Pf9b7zv1KugPCJoOLwcj0a0utWPg7gVQDj9YHKIOYYwmrVFlsyzm98qLvBFv6ysMEzqlG1ySQUrHSB6+JlmMyxex9gXPZXt8Lto2uM9rGOflQqNem5bgEJcd1CcPRvqqH5pE2CnjpEhIMaQy0VBsV23JMKrtgIGdfQgI16HqfCdpa3RF06b+iT7bXEEgI0X/HNvaNBnaCswcKx3KfnNvvtV9n69qpznqIR8Kuvk9Bf5wv6StJNcUgnA3iBNFsMObcOogz8EcDO4M+08AECJVVD5sRwqqeHwneUeUGXhv7axByPY7v22dm16YftvNezszCjj65t5XXfk/ci+2t6SIYZAkCGuFWbVUsCSpaBmuqsb2WcEkI9OvOJJzqNBKzyg2zIEyV2SvKmdm1Z5VplUq6V7QE5ErQ3hv3YntrupBUJrQ6GBMSs4olAVOrvgzqXv2MpH/aSmWTcB1VoKPKLWZBmPCaTT2rrWtvfSBEn77TH+/ryrUl3REDsQ/YhMSsYklY1Kos0+LRFLZL/1R3K+45hU140Va8ZwqLGnappusHy568r0dbv1/p6TGwZqGSgd/DIiExqj4yXa2VztEASRU4mnqOzKaRCc0jU9hMPUeV2sjs2ulntqYZNex43XvHS/pCDNbZwB4tntcpZkdlQn9UG7NqaVTZ9W2Z/o3uqx87CtdgG/vqvURCpgdhApLWp9C89hpqW9fOa6j9b90HffDerUzbJR1UQ6hOa9hO0BFadSqKGgYM1KDKY8D2oItUQOwnADiXP9neB3mqIhr3kWNHgZBArveCBBGt4/xM/3p41jDnWvRLy/tRj59dG9nHOeynahuFIvty3Oh9k3QHDNwMwgxwGj8TLn1qhhzLeQmwnMPAnVUmDORUOzQGNz/3MA36SiDRCI96LPdW77uGBfee7bQ6NSSU633z964f01/b1rWj9sGfszWyhN3sfZD0AKl6RgGhL0OIE86STmRrwV/HUR0TdmeTKfheo6Kt6j5eW1WXFWhUtPewcq+1ak4l3Rsf4NzzaDajC8rUzbWl45gC12DL8sFs2v9I/Bsz9c+9ca9sy9N3tueYKpU/rQchOJ999/6wnP1eJtj69ixz1MDNOjGhd8Z/E32grQV/7ctgYoAREmcNOoKB+6wVTsKkbiO4+zpkwi7h2Nch8zu0Vz0lpFZlbbTjeqPQzf2xv+LfZbRdF8InIb80/CLQzjj1OrsMMAYmg/ms1QP3VSuhVHF9nZYg66FF5cbvSSq4Xvnxuns/I0fCLvd35Hcy4d3/DXLd2cMkSU8s1RhhvYcPxYROPhxrIBJ+PQBHjoTdaGrMPRNoIwnH0X7unX1WdtIFHal2CBCOR9bF6nkE4Eo/R8Iu18l6IgitWTgnHPv+TMFXKk9JTyjVzt5DqVRMCZ2s/aWCSpisVE1Hwi5T0t4Sut0ohLlnQo4w3nudkp5UpqN7Mt2t62AECNsIkDyg6XLeauvYVquxhO4sVBPetRGYhODegxNJTyrVWdbhtlBJ9XUwqifOJ0iYNo76eU/Y5dw+JWVbf/gQo34kXVz9usye0TpZqiwqL/YTeitWp7E5bmUdEAnHlfCWdCGEF+EwmxJWs9DJd9do9SHCltWwI7RW7w/pdyW8JV0E61dZr9sLqUxXR2GXp5+01TWxlbDLFJu28lCBKjNriKuVoKQLSJCkzaqnTA23jiNk6kOEPSthV685u26VKjDN6k7Sw62EnSRJkiRJkiRJkiRJkiRJkiRJkiRJkiRJkiRJkiRJkiRJkiRJkiRJkiRJkiRJkiRJkiRJkiRJkiRJkiRJkiRJ0tDLy785Y8ruZnVMkAAAAABJRU5ErkJggg==">
          <a:extLst>
            <a:ext uri="{FF2B5EF4-FFF2-40B4-BE49-F238E27FC236}">
              <a16:creationId xmlns:a16="http://schemas.microsoft.com/office/drawing/2014/main" id="{00000000-0008-0000-0100-000001080000}"/>
            </a:ext>
          </a:extLst>
        </xdr:cNvPr>
        <xdr:cNvSpPr>
          <a:spLocks noChangeAspect="1" noChangeArrowheads="1"/>
        </xdr:cNvSpPr>
      </xdr:nvSpPr>
      <xdr:spPr bwMode="auto">
        <a:xfrm>
          <a:off x="11249025" y="5562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196215</xdr:colOff>
      <xdr:row>5</xdr:row>
      <xdr:rowOff>142875</xdr:rowOff>
    </xdr:from>
    <xdr:to>
      <xdr:col>19</xdr:col>
      <xdr:colOff>719422</xdr:colOff>
      <xdr:row>17</xdr:row>
      <xdr:rowOff>49255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081135" y="1224915"/>
          <a:ext cx="5468587" cy="2161900"/>
        </a:xfrm>
        <a:prstGeom prst="rect">
          <a:avLst/>
        </a:prstGeom>
      </xdr:spPr>
    </xdr:pic>
    <xdr:clientData/>
  </xdr:twoCellAnchor>
  <xdr:twoCellAnchor>
    <xdr:from>
      <xdr:col>0</xdr:col>
      <xdr:colOff>30480</xdr:colOff>
      <xdr:row>14</xdr:row>
      <xdr:rowOff>45720</xdr:rowOff>
    </xdr:from>
    <xdr:to>
      <xdr:col>7</xdr:col>
      <xdr:colOff>487680</xdr:colOff>
      <xdr:row>28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80C50EC-FBED-4E5C-80F7-B1D3749065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533400</xdr:colOff>
      <xdr:row>14</xdr:row>
      <xdr:rowOff>45720</xdr:rowOff>
    </xdr:from>
    <xdr:to>
      <xdr:col>13</xdr:col>
      <xdr:colOff>335280</xdr:colOff>
      <xdr:row>28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3BB3E0B-90D2-414F-AA48-C729559536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4"/>
  <sheetViews>
    <sheetView tabSelected="1" topLeftCell="A7" zoomScale="82" zoomScaleNormal="100" workbookViewId="0">
      <selection activeCell="K3" sqref="K3"/>
    </sheetView>
  </sheetViews>
  <sheetFormatPr defaultRowHeight="14.5" x14ac:dyDescent="0.35"/>
  <cols>
    <col min="1" max="2" width="10.54296875" customWidth="1"/>
    <col min="3" max="4" width="12.90625" bestFit="1" customWidth="1"/>
    <col min="5" max="5" width="7.6328125" customWidth="1"/>
    <col min="6" max="6" width="7.54296875" customWidth="1"/>
    <col min="7" max="7" width="7.36328125" customWidth="1"/>
    <col min="8" max="8" width="8" customWidth="1"/>
    <col min="9" max="9" width="10.26953125" customWidth="1"/>
    <col min="10" max="10" width="16.08984375" bestFit="1" customWidth="1"/>
    <col min="11" max="11" width="16.08984375" customWidth="1"/>
    <col min="12" max="12" width="12.90625" bestFit="1" customWidth="1"/>
    <col min="13" max="13" width="8" customWidth="1"/>
    <col min="14" max="14" width="5.90625" customWidth="1"/>
    <col min="15" max="15" width="15.54296875" bestFit="1" customWidth="1"/>
    <col min="17" max="17" width="12.08984375" customWidth="1"/>
    <col min="18" max="18" width="13.6328125" customWidth="1"/>
    <col min="19" max="19" width="16" customWidth="1"/>
    <col min="20" max="20" width="15" customWidth="1"/>
    <col min="21" max="21" width="14.90625" customWidth="1"/>
    <col min="24" max="24" width="16.08984375" bestFit="1" customWidth="1"/>
    <col min="26" max="26" width="12.90625" bestFit="1" customWidth="1"/>
    <col min="27" max="27" width="11.6328125" bestFit="1" customWidth="1"/>
  </cols>
  <sheetData>
    <row r="1" spans="1:22" x14ac:dyDescent="0.35">
      <c r="A1" s="27" t="s">
        <v>24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O1" s="15" t="s">
        <v>25</v>
      </c>
      <c r="P1" s="15" t="s">
        <v>15</v>
      </c>
    </row>
    <row r="2" spans="1:22" x14ac:dyDescent="0.35">
      <c r="A2" s="2" t="s">
        <v>12</v>
      </c>
      <c r="B2" s="2" t="s">
        <v>20</v>
      </c>
      <c r="C2" s="1" t="s">
        <v>0</v>
      </c>
      <c r="D2" s="1" t="s">
        <v>1</v>
      </c>
      <c r="E2" s="1" t="s">
        <v>2</v>
      </c>
      <c r="F2" s="1" t="s">
        <v>3</v>
      </c>
      <c r="G2" s="1" t="s">
        <v>4</v>
      </c>
      <c r="H2" s="1" t="s">
        <v>5</v>
      </c>
      <c r="I2" s="1" t="s">
        <v>9</v>
      </c>
      <c r="J2" s="1" t="s">
        <v>11</v>
      </c>
      <c r="K2" s="1" t="s">
        <v>8</v>
      </c>
      <c r="L2" s="1" t="s">
        <v>10</v>
      </c>
      <c r="M2" s="1" t="s">
        <v>7</v>
      </c>
      <c r="O2" s="5" t="s">
        <v>26</v>
      </c>
      <c r="P2" s="5" t="s">
        <v>16</v>
      </c>
    </row>
    <row r="3" spans="1:22" x14ac:dyDescent="0.35">
      <c r="A3" s="16">
        <v>1</v>
      </c>
      <c r="B3" s="16">
        <v>0.92</v>
      </c>
      <c r="C3" s="17" t="s">
        <v>25</v>
      </c>
      <c r="D3" s="4" t="s">
        <v>25</v>
      </c>
      <c r="E3" s="4">
        <v>1</v>
      </c>
      <c r="F3" s="4">
        <v>0</v>
      </c>
      <c r="G3" s="4">
        <v>0</v>
      </c>
      <c r="H3" s="4">
        <v>0</v>
      </c>
      <c r="I3" s="4" t="e">
        <f>F3/(F3+G3)</f>
        <v>#DIV/0!</v>
      </c>
      <c r="J3" s="4">
        <f>E3/(E3+H3)</f>
        <v>1</v>
      </c>
      <c r="K3" s="4">
        <f>E3/(E3+F3)</f>
        <v>1</v>
      </c>
      <c r="L3" s="4" t="e">
        <f>G3/(G3+F3)</f>
        <v>#DIV/0!</v>
      </c>
      <c r="M3" s="4">
        <f>(E3+G3)/(E3+G3+F3+H3)</f>
        <v>1</v>
      </c>
    </row>
    <row r="4" spans="1:22" x14ac:dyDescent="0.35">
      <c r="A4" s="16">
        <v>2</v>
      </c>
      <c r="B4" s="16">
        <v>0.81</v>
      </c>
      <c r="C4" s="17" t="s">
        <v>25</v>
      </c>
      <c r="D4" s="4" t="s">
        <v>25</v>
      </c>
      <c r="E4" s="4">
        <v>1</v>
      </c>
      <c r="F4" s="4">
        <v>0</v>
      </c>
      <c r="G4" s="4">
        <v>0</v>
      </c>
      <c r="H4" s="4">
        <v>0</v>
      </c>
      <c r="I4" s="4" t="e">
        <f t="shared" ref="I4:I14" si="0">F4/(F4+G4)</f>
        <v>#DIV/0!</v>
      </c>
      <c r="J4" s="4">
        <f t="shared" ref="J4:J14" si="1">E4/(E4+H4)</f>
        <v>1</v>
      </c>
      <c r="K4" s="4">
        <f t="shared" ref="K4:K14" si="2">E4/(E4+F4)</f>
        <v>1</v>
      </c>
      <c r="L4" s="4" t="e">
        <f t="shared" ref="L4:L14" si="3">G4/(G4+F4)</f>
        <v>#DIV/0!</v>
      </c>
      <c r="M4" s="4">
        <f t="shared" ref="M4:M14" si="4">(E4+G4)/(E4+G4+F4+H4)</f>
        <v>1</v>
      </c>
      <c r="S4" s="10" t="s">
        <v>22</v>
      </c>
      <c r="T4" s="26" t="s">
        <v>21</v>
      </c>
    </row>
    <row r="5" spans="1:22" x14ac:dyDescent="0.35">
      <c r="A5" s="16">
        <v>3</v>
      </c>
      <c r="B5" s="16">
        <v>0.67</v>
      </c>
      <c r="C5" s="17" t="s">
        <v>25</v>
      </c>
      <c r="D5" s="4" t="s">
        <v>26</v>
      </c>
      <c r="E5" s="4">
        <v>0</v>
      </c>
      <c r="F5" s="4">
        <v>0</v>
      </c>
      <c r="G5" s="4">
        <v>0</v>
      </c>
      <c r="H5" s="4">
        <v>1</v>
      </c>
      <c r="I5" s="4" t="e">
        <f t="shared" si="0"/>
        <v>#DIV/0!</v>
      </c>
      <c r="J5" s="4">
        <f t="shared" si="1"/>
        <v>0</v>
      </c>
      <c r="K5" s="4" t="e">
        <f t="shared" si="2"/>
        <v>#DIV/0!</v>
      </c>
      <c r="L5" s="4" t="e">
        <f t="shared" si="3"/>
        <v>#DIV/0!</v>
      </c>
      <c r="M5" s="4">
        <f t="shared" si="4"/>
        <v>0</v>
      </c>
      <c r="S5" s="11" t="s">
        <v>23</v>
      </c>
      <c r="T5" s="26"/>
    </row>
    <row r="6" spans="1:22" x14ac:dyDescent="0.35">
      <c r="A6" s="16">
        <v>4</v>
      </c>
      <c r="B6" s="16">
        <v>0.55000000000000004</v>
      </c>
      <c r="C6" s="17" t="s">
        <v>25</v>
      </c>
      <c r="D6" s="4" t="s">
        <v>25</v>
      </c>
      <c r="E6" s="4">
        <v>1</v>
      </c>
      <c r="F6" s="4">
        <v>0</v>
      </c>
      <c r="G6" s="4">
        <v>0</v>
      </c>
      <c r="H6" s="4">
        <v>0</v>
      </c>
      <c r="I6" s="4" t="e">
        <f t="shared" si="0"/>
        <v>#DIV/0!</v>
      </c>
      <c r="J6" s="4">
        <f t="shared" si="1"/>
        <v>1</v>
      </c>
      <c r="K6" s="4">
        <f t="shared" si="2"/>
        <v>1</v>
      </c>
      <c r="L6" s="4" t="e">
        <f t="shared" si="3"/>
        <v>#DIV/0!</v>
      </c>
      <c r="M6" s="4">
        <f t="shared" si="4"/>
        <v>1</v>
      </c>
    </row>
    <row r="7" spans="1:22" x14ac:dyDescent="0.35">
      <c r="A7" s="16">
        <v>5</v>
      </c>
      <c r="B7" s="16">
        <v>0.44</v>
      </c>
      <c r="C7" s="17" t="s">
        <v>25</v>
      </c>
      <c r="D7" s="4" t="s">
        <v>26</v>
      </c>
      <c r="E7" s="4">
        <v>0</v>
      </c>
      <c r="F7" s="4">
        <v>0</v>
      </c>
      <c r="G7" s="4">
        <v>0</v>
      </c>
      <c r="H7" s="4">
        <v>1</v>
      </c>
      <c r="I7" s="4" t="e">
        <f t="shared" si="0"/>
        <v>#DIV/0!</v>
      </c>
      <c r="J7" s="4">
        <f t="shared" si="1"/>
        <v>0</v>
      </c>
      <c r="K7" s="4" t="e">
        <f t="shared" si="2"/>
        <v>#DIV/0!</v>
      </c>
      <c r="L7" s="4" t="e">
        <f t="shared" si="3"/>
        <v>#DIV/0!</v>
      </c>
      <c r="M7" s="4">
        <f t="shared" si="4"/>
        <v>0</v>
      </c>
    </row>
    <row r="8" spans="1:22" x14ac:dyDescent="0.35">
      <c r="A8" s="16">
        <v>6</v>
      </c>
      <c r="B8" s="16">
        <v>0.88</v>
      </c>
      <c r="C8" s="17" t="s">
        <v>25</v>
      </c>
      <c r="D8" s="4" t="s">
        <v>25</v>
      </c>
      <c r="E8" s="4">
        <v>1</v>
      </c>
      <c r="F8" s="4">
        <v>0</v>
      </c>
      <c r="G8" s="4">
        <v>0</v>
      </c>
      <c r="H8" s="4">
        <v>0</v>
      </c>
      <c r="I8" s="4" t="e">
        <f t="shared" si="0"/>
        <v>#DIV/0!</v>
      </c>
      <c r="J8" s="4">
        <f t="shared" si="1"/>
        <v>1</v>
      </c>
      <c r="K8" s="4">
        <f t="shared" si="2"/>
        <v>1</v>
      </c>
      <c r="L8" s="4" t="e">
        <f t="shared" si="3"/>
        <v>#DIV/0!</v>
      </c>
      <c r="M8" s="4">
        <f t="shared" si="4"/>
        <v>1</v>
      </c>
    </row>
    <row r="9" spans="1:22" x14ac:dyDescent="0.35">
      <c r="A9" s="18">
        <v>7</v>
      </c>
      <c r="B9" s="18">
        <v>0.33</v>
      </c>
      <c r="C9" s="19" t="s">
        <v>26</v>
      </c>
      <c r="D9" s="4" t="s">
        <v>26</v>
      </c>
      <c r="E9" s="4">
        <v>0</v>
      </c>
      <c r="F9" s="4">
        <v>0</v>
      </c>
      <c r="G9" s="4">
        <v>1</v>
      </c>
      <c r="H9" s="4">
        <v>0</v>
      </c>
      <c r="I9" s="4">
        <f t="shared" si="0"/>
        <v>0</v>
      </c>
      <c r="J9" s="4" t="e">
        <f t="shared" si="1"/>
        <v>#DIV/0!</v>
      </c>
      <c r="K9" s="4" t="e">
        <f t="shared" si="2"/>
        <v>#DIV/0!</v>
      </c>
      <c r="L9" s="4">
        <f t="shared" si="3"/>
        <v>1</v>
      </c>
      <c r="M9" s="4">
        <f t="shared" si="4"/>
        <v>1</v>
      </c>
    </row>
    <row r="10" spans="1:22" x14ac:dyDescent="0.35">
      <c r="A10" s="18">
        <v>8</v>
      </c>
      <c r="B10" s="18">
        <v>0.21</v>
      </c>
      <c r="C10" s="19" t="s">
        <v>26</v>
      </c>
      <c r="D10" s="4" t="s">
        <v>26</v>
      </c>
      <c r="E10" s="4">
        <v>0</v>
      </c>
      <c r="F10" s="4">
        <v>0</v>
      </c>
      <c r="G10" s="4">
        <v>1</v>
      </c>
      <c r="H10" s="4">
        <v>0</v>
      </c>
      <c r="I10" s="4">
        <f t="shared" si="0"/>
        <v>0</v>
      </c>
      <c r="J10" s="4" t="e">
        <f t="shared" si="1"/>
        <v>#DIV/0!</v>
      </c>
      <c r="K10" s="4" t="e">
        <f t="shared" si="2"/>
        <v>#DIV/0!</v>
      </c>
      <c r="L10" s="4">
        <f t="shared" si="3"/>
        <v>1</v>
      </c>
      <c r="M10" s="4">
        <f t="shared" si="4"/>
        <v>1</v>
      </c>
    </row>
    <row r="11" spans="1:22" x14ac:dyDescent="0.35">
      <c r="A11" s="18">
        <v>9</v>
      </c>
      <c r="B11" s="18">
        <v>0.18</v>
      </c>
      <c r="C11" s="19" t="s">
        <v>26</v>
      </c>
      <c r="D11" s="4" t="s">
        <v>25</v>
      </c>
      <c r="E11" s="4">
        <v>0</v>
      </c>
      <c r="F11" s="4">
        <v>1</v>
      </c>
      <c r="G11" s="4">
        <v>0</v>
      </c>
      <c r="H11" s="4">
        <v>0</v>
      </c>
      <c r="I11" s="4">
        <f t="shared" si="0"/>
        <v>1</v>
      </c>
      <c r="J11" s="4" t="e">
        <f t="shared" si="1"/>
        <v>#DIV/0!</v>
      </c>
      <c r="K11" s="4">
        <f t="shared" si="2"/>
        <v>0</v>
      </c>
      <c r="L11" s="4">
        <f t="shared" si="3"/>
        <v>0</v>
      </c>
      <c r="M11" s="4">
        <f t="shared" si="4"/>
        <v>0</v>
      </c>
    </row>
    <row r="12" spans="1:22" x14ac:dyDescent="0.35">
      <c r="A12" s="18">
        <v>10</v>
      </c>
      <c r="B12" s="18">
        <v>0.4</v>
      </c>
      <c r="C12" s="19" t="s">
        <v>26</v>
      </c>
      <c r="D12" s="4" t="s">
        <v>26</v>
      </c>
      <c r="E12" s="4">
        <v>0</v>
      </c>
      <c r="F12" s="4">
        <v>0</v>
      </c>
      <c r="G12" s="4">
        <v>1</v>
      </c>
      <c r="H12" s="4">
        <v>0</v>
      </c>
      <c r="I12" s="4">
        <f t="shared" si="0"/>
        <v>0</v>
      </c>
      <c r="J12" s="4" t="e">
        <f t="shared" si="1"/>
        <v>#DIV/0!</v>
      </c>
      <c r="K12" s="4" t="e">
        <f t="shared" si="2"/>
        <v>#DIV/0!</v>
      </c>
      <c r="L12" s="4">
        <f t="shared" si="3"/>
        <v>1</v>
      </c>
      <c r="M12" s="4">
        <f t="shared" si="4"/>
        <v>1</v>
      </c>
    </row>
    <row r="13" spans="1:22" x14ac:dyDescent="0.35">
      <c r="A13" s="18">
        <v>11</v>
      </c>
      <c r="B13" s="18">
        <v>0.62</v>
      </c>
      <c r="C13" s="19" t="s">
        <v>26</v>
      </c>
      <c r="D13" s="4" t="s">
        <v>25</v>
      </c>
      <c r="E13" s="4">
        <v>0</v>
      </c>
      <c r="F13" s="4">
        <v>1</v>
      </c>
      <c r="G13" s="4">
        <v>0</v>
      </c>
      <c r="H13" s="4">
        <v>0</v>
      </c>
      <c r="I13" s="4">
        <f t="shared" si="0"/>
        <v>1</v>
      </c>
      <c r="J13" s="4" t="e">
        <f t="shared" si="1"/>
        <v>#DIV/0!</v>
      </c>
      <c r="K13" s="4">
        <f t="shared" si="2"/>
        <v>0</v>
      </c>
      <c r="L13" s="4">
        <f t="shared" si="3"/>
        <v>0</v>
      </c>
      <c r="M13" s="4">
        <f t="shared" si="4"/>
        <v>0</v>
      </c>
    </row>
    <row r="14" spans="1:22" ht="15.5" x14ac:dyDescent="0.35">
      <c r="A14" s="18">
        <v>12</v>
      </c>
      <c r="B14" s="18">
        <v>0.13</v>
      </c>
      <c r="C14" s="19" t="s">
        <v>26</v>
      </c>
      <c r="D14" s="4" t="s">
        <v>26</v>
      </c>
      <c r="E14" s="4">
        <v>0</v>
      </c>
      <c r="F14" s="4">
        <v>0</v>
      </c>
      <c r="G14" s="4">
        <v>1</v>
      </c>
      <c r="H14" s="4">
        <v>0</v>
      </c>
      <c r="I14" s="4">
        <f t="shared" si="0"/>
        <v>0</v>
      </c>
      <c r="J14" s="4" t="e">
        <f t="shared" si="1"/>
        <v>#DIV/0!</v>
      </c>
      <c r="K14" s="4" t="e">
        <f t="shared" si="2"/>
        <v>#DIV/0!</v>
      </c>
      <c r="L14" s="4">
        <f t="shared" si="3"/>
        <v>1</v>
      </c>
      <c r="M14" s="4">
        <f t="shared" si="4"/>
        <v>1</v>
      </c>
      <c r="P14" s="21"/>
      <c r="Q14" s="21"/>
      <c r="R14" s="21"/>
      <c r="S14" s="21"/>
      <c r="T14" s="21"/>
      <c r="U14" s="21"/>
      <c r="V14" s="21"/>
    </row>
    <row r="15" spans="1:22" ht="15.5" x14ac:dyDescent="0.35">
      <c r="P15" s="21"/>
      <c r="Q15" s="21"/>
      <c r="R15" s="21"/>
      <c r="S15" s="21"/>
      <c r="T15" s="21"/>
      <c r="U15" s="21"/>
      <c r="V15" s="21"/>
    </row>
    <row r="16" spans="1:22" ht="15.5" x14ac:dyDescent="0.35">
      <c r="P16" s="21"/>
      <c r="Q16" s="21"/>
      <c r="R16" s="21"/>
      <c r="S16" s="21"/>
      <c r="T16" s="21"/>
      <c r="U16" s="21"/>
      <c r="V16" s="21"/>
    </row>
    <row r="17" spans="16:22" ht="15.5" x14ac:dyDescent="0.35">
      <c r="P17" s="21"/>
      <c r="V17" s="21"/>
    </row>
    <row r="18" spans="16:22" ht="15.5" x14ac:dyDescent="0.35">
      <c r="P18" s="21"/>
      <c r="V18" s="21"/>
    </row>
    <row r="19" spans="16:22" ht="15.5" x14ac:dyDescent="0.35">
      <c r="P19" s="21"/>
      <c r="V19" s="21"/>
    </row>
    <row r="20" spans="16:22" ht="15.5" x14ac:dyDescent="0.35">
      <c r="P20" s="21"/>
      <c r="V20" s="21"/>
    </row>
    <row r="21" spans="16:22" ht="15.5" x14ac:dyDescent="0.35">
      <c r="P21" s="21"/>
      <c r="Q21" s="21"/>
      <c r="R21" s="21"/>
      <c r="S21" s="21"/>
      <c r="T21" s="21"/>
      <c r="U21" s="21"/>
      <c r="V21" s="21"/>
    </row>
    <row r="22" spans="16:22" ht="15.5" x14ac:dyDescent="0.35">
      <c r="P22" s="21"/>
      <c r="Q22" s="21"/>
      <c r="R22" s="21"/>
      <c r="S22" s="21"/>
      <c r="T22" s="21"/>
      <c r="U22" s="21"/>
      <c r="V22" s="21"/>
    </row>
    <row r="23" spans="16:22" ht="15.5" x14ac:dyDescent="0.35">
      <c r="P23" s="21"/>
      <c r="Q23" s="21"/>
      <c r="S23" s="21"/>
      <c r="T23" s="21"/>
      <c r="U23" s="21"/>
      <c r="V23" s="21"/>
    </row>
    <row r="24" spans="16:22" ht="15.5" x14ac:dyDescent="0.35">
      <c r="P24" s="21"/>
      <c r="Q24" s="21"/>
      <c r="R24" s="21"/>
      <c r="S24" s="21"/>
      <c r="T24" s="21"/>
      <c r="U24" s="21"/>
      <c r="V24" s="21"/>
    </row>
  </sheetData>
  <sortState ref="B3:C14">
    <sortCondition descending="1" ref="B3:B14"/>
  </sortState>
  <mergeCells count="2">
    <mergeCell ref="T4:T5"/>
    <mergeCell ref="A1:M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9"/>
  <sheetViews>
    <sheetView zoomScaleNormal="100" workbookViewId="0">
      <selection activeCell="H11" sqref="H11"/>
    </sheetView>
  </sheetViews>
  <sheetFormatPr defaultRowHeight="14.5" x14ac:dyDescent="0.35"/>
  <cols>
    <col min="1" max="1" width="10" customWidth="1"/>
    <col min="2" max="2" width="9.36328125" bestFit="1" customWidth="1"/>
    <col min="5" max="5" width="11.6328125" bestFit="1" customWidth="1"/>
    <col min="12" max="12" width="8.08984375" bestFit="1" customWidth="1"/>
  </cols>
  <sheetData>
    <row r="1" spans="1:14" x14ac:dyDescent="0.35">
      <c r="A1" s="2" t="s">
        <v>13</v>
      </c>
      <c r="B1" s="1" t="s">
        <v>0</v>
      </c>
      <c r="C1" s="1" t="s">
        <v>1</v>
      </c>
      <c r="D1" s="12" t="s">
        <v>7</v>
      </c>
      <c r="E1" s="12" t="s">
        <v>6</v>
      </c>
      <c r="G1" s="26" t="s">
        <v>14</v>
      </c>
      <c r="H1" s="26"/>
      <c r="I1" s="26"/>
      <c r="J1" s="26"/>
    </row>
    <row r="2" spans="1:14" x14ac:dyDescent="0.35">
      <c r="A2" s="8">
        <v>1</v>
      </c>
      <c r="B2" s="9" t="s">
        <v>27</v>
      </c>
      <c r="C2" s="9" t="s">
        <v>27</v>
      </c>
      <c r="D2" s="30">
        <v>1</v>
      </c>
      <c r="E2" s="25" t="s">
        <v>29</v>
      </c>
      <c r="H2" s="28" t="s">
        <v>0</v>
      </c>
      <c r="I2" s="28"/>
      <c r="J2" s="28"/>
    </row>
    <row r="3" spans="1:14" x14ac:dyDescent="0.35">
      <c r="A3" s="8">
        <v>2</v>
      </c>
      <c r="B3" s="9" t="s">
        <v>27</v>
      </c>
      <c r="C3" s="9" t="s">
        <v>27</v>
      </c>
      <c r="D3" s="31">
        <v>1</v>
      </c>
      <c r="E3" s="25" t="s">
        <v>29</v>
      </c>
      <c r="G3" s="13"/>
      <c r="H3" s="24" t="s">
        <v>27</v>
      </c>
      <c r="I3" s="24" t="s">
        <v>28</v>
      </c>
      <c r="J3" s="24" t="s">
        <v>25</v>
      </c>
    </row>
    <row r="4" spans="1:14" x14ac:dyDescent="0.35">
      <c r="A4" s="8">
        <v>3</v>
      </c>
      <c r="B4" s="9" t="s">
        <v>27</v>
      </c>
      <c r="C4" s="4" t="s">
        <v>28</v>
      </c>
      <c r="D4" s="31">
        <v>0</v>
      </c>
      <c r="E4" s="25" t="s">
        <v>29</v>
      </c>
      <c r="F4" s="29" t="s">
        <v>1</v>
      </c>
      <c r="G4" s="14" t="s">
        <v>27</v>
      </c>
      <c r="H4" s="22">
        <v>4</v>
      </c>
      <c r="I4" s="6">
        <v>1</v>
      </c>
      <c r="J4" s="6">
        <v>1</v>
      </c>
      <c r="M4" s="10" t="s">
        <v>18</v>
      </c>
      <c r="N4" s="26" t="s">
        <v>17</v>
      </c>
    </row>
    <row r="5" spans="1:14" x14ac:dyDescent="0.35">
      <c r="A5" s="3">
        <v>4</v>
      </c>
      <c r="B5" s="9" t="s">
        <v>27</v>
      </c>
      <c r="C5" s="9" t="s">
        <v>27</v>
      </c>
      <c r="D5" s="31">
        <v>1</v>
      </c>
      <c r="E5" s="25" t="s">
        <v>29</v>
      </c>
      <c r="F5" s="29"/>
      <c r="G5" s="14" t="s">
        <v>28</v>
      </c>
      <c r="H5" s="6">
        <v>2</v>
      </c>
      <c r="I5" s="23">
        <v>5</v>
      </c>
      <c r="J5" s="6">
        <v>0</v>
      </c>
      <c r="M5" s="11" t="s">
        <v>19</v>
      </c>
      <c r="N5" s="26"/>
    </row>
    <row r="6" spans="1:14" x14ac:dyDescent="0.35">
      <c r="A6" s="3">
        <v>5</v>
      </c>
      <c r="B6" s="9" t="s">
        <v>27</v>
      </c>
      <c r="C6" s="9" t="s">
        <v>27</v>
      </c>
      <c r="D6" s="31">
        <v>1</v>
      </c>
      <c r="E6" s="25" t="s">
        <v>29</v>
      </c>
      <c r="F6" s="29"/>
      <c r="G6" s="14" t="s">
        <v>25</v>
      </c>
      <c r="H6" s="6">
        <v>0</v>
      </c>
      <c r="I6" s="6">
        <v>1</v>
      </c>
      <c r="J6" s="23">
        <v>5</v>
      </c>
    </row>
    <row r="7" spans="1:14" x14ac:dyDescent="0.35">
      <c r="A7" s="3">
        <v>6</v>
      </c>
      <c r="B7" s="9" t="s">
        <v>27</v>
      </c>
      <c r="C7" s="4" t="s">
        <v>25</v>
      </c>
      <c r="D7" s="31">
        <v>0</v>
      </c>
      <c r="E7" s="25" t="s">
        <v>29</v>
      </c>
    </row>
    <row r="8" spans="1:14" x14ac:dyDescent="0.35">
      <c r="A8" s="3">
        <v>7</v>
      </c>
      <c r="B8" s="4" t="s">
        <v>28</v>
      </c>
      <c r="C8" s="4" t="s">
        <v>28</v>
      </c>
      <c r="D8" s="31">
        <v>1</v>
      </c>
      <c r="E8" s="25" t="s">
        <v>29</v>
      </c>
      <c r="J8" s="20" t="s">
        <v>7</v>
      </c>
      <c r="K8">
        <f>ROUND(SUM(D2:D19)/18*100,2)</f>
        <v>77.78</v>
      </c>
    </row>
    <row r="9" spans="1:14" x14ac:dyDescent="0.35">
      <c r="A9" s="3">
        <v>8</v>
      </c>
      <c r="B9" s="4" t="s">
        <v>28</v>
      </c>
      <c r="C9" s="4" t="s">
        <v>28</v>
      </c>
      <c r="D9" s="31">
        <v>1</v>
      </c>
      <c r="E9" s="25" t="s">
        <v>29</v>
      </c>
      <c r="K9" s="7"/>
    </row>
    <row r="10" spans="1:14" x14ac:dyDescent="0.35">
      <c r="A10" s="3">
        <v>9</v>
      </c>
      <c r="B10" s="4" t="s">
        <v>28</v>
      </c>
      <c r="C10" s="4" t="s">
        <v>28</v>
      </c>
      <c r="D10" s="31">
        <v>1</v>
      </c>
      <c r="E10" s="25" t="s">
        <v>29</v>
      </c>
    </row>
    <row r="11" spans="1:14" x14ac:dyDescent="0.35">
      <c r="A11" s="3">
        <v>10</v>
      </c>
      <c r="B11" s="4" t="s">
        <v>28</v>
      </c>
      <c r="C11" s="9" t="s">
        <v>27</v>
      </c>
      <c r="D11" s="31">
        <v>0</v>
      </c>
      <c r="E11" s="25" t="s">
        <v>29</v>
      </c>
    </row>
    <row r="12" spans="1:14" x14ac:dyDescent="0.35">
      <c r="A12" s="3">
        <v>11</v>
      </c>
      <c r="B12" s="4" t="s">
        <v>28</v>
      </c>
      <c r="C12" s="4" t="s">
        <v>28</v>
      </c>
      <c r="D12" s="31">
        <v>1</v>
      </c>
      <c r="E12" s="25" t="s">
        <v>29</v>
      </c>
    </row>
    <row r="13" spans="1:14" x14ac:dyDescent="0.35">
      <c r="A13" s="3">
        <v>12</v>
      </c>
      <c r="B13" s="4" t="s">
        <v>28</v>
      </c>
      <c r="C13" s="4" t="s">
        <v>28</v>
      </c>
      <c r="D13" s="31">
        <v>1</v>
      </c>
      <c r="E13" s="25" t="s">
        <v>29</v>
      </c>
    </row>
    <row r="14" spans="1:14" x14ac:dyDescent="0.35">
      <c r="A14" s="3">
        <v>13</v>
      </c>
      <c r="B14" s="4" t="s">
        <v>25</v>
      </c>
      <c r="C14" s="4" t="s">
        <v>25</v>
      </c>
      <c r="D14" s="31">
        <v>1</v>
      </c>
      <c r="E14" s="25" t="s">
        <v>29</v>
      </c>
    </row>
    <row r="15" spans="1:14" x14ac:dyDescent="0.35">
      <c r="A15" s="3">
        <v>14</v>
      </c>
      <c r="B15" s="4" t="s">
        <v>25</v>
      </c>
      <c r="C15" s="4" t="s">
        <v>28</v>
      </c>
      <c r="D15" s="31">
        <v>0</v>
      </c>
      <c r="E15" s="25" t="s">
        <v>29</v>
      </c>
    </row>
    <row r="16" spans="1:14" x14ac:dyDescent="0.35">
      <c r="A16" s="3">
        <v>15</v>
      </c>
      <c r="B16" s="4" t="s">
        <v>25</v>
      </c>
      <c r="C16" s="4" t="s">
        <v>25</v>
      </c>
      <c r="D16" s="31">
        <v>1</v>
      </c>
      <c r="E16" s="25" t="s">
        <v>29</v>
      </c>
    </row>
    <row r="17" spans="1:5" x14ac:dyDescent="0.35">
      <c r="A17" s="3">
        <v>16</v>
      </c>
      <c r="B17" s="4" t="s">
        <v>25</v>
      </c>
      <c r="C17" s="4" t="s">
        <v>25</v>
      </c>
      <c r="D17" s="31">
        <v>1</v>
      </c>
      <c r="E17" s="25" t="s">
        <v>29</v>
      </c>
    </row>
    <row r="18" spans="1:5" x14ac:dyDescent="0.35">
      <c r="A18" s="3">
        <v>17</v>
      </c>
      <c r="B18" s="4" t="s">
        <v>25</v>
      </c>
      <c r="C18" s="4" t="s">
        <v>25</v>
      </c>
      <c r="D18" s="31">
        <v>1</v>
      </c>
      <c r="E18" s="25" t="s">
        <v>29</v>
      </c>
    </row>
    <row r="19" spans="1:5" x14ac:dyDescent="0.35">
      <c r="A19" s="3">
        <v>18</v>
      </c>
      <c r="B19" s="4" t="s">
        <v>25</v>
      </c>
      <c r="C19" s="4" t="s">
        <v>25</v>
      </c>
      <c r="D19" s="32">
        <v>1</v>
      </c>
      <c r="E19" s="25" t="s">
        <v>29</v>
      </c>
    </row>
    <row r="29" spans="1:5" x14ac:dyDescent="0.35">
      <c r="D29" s="13"/>
    </row>
  </sheetData>
  <mergeCells count="4">
    <mergeCell ref="N4:N5"/>
    <mergeCell ref="G1:J1"/>
    <mergeCell ref="H2:J2"/>
    <mergeCell ref="F4:F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Binary Classifier</vt:lpstr>
      <vt:lpstr>multiclassifier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Maha Riyad Elddin Yaghi</dc:creator>
  <cp:lastModifiedBy>Daniyal Wajid</cp:lastModifiedBy>
  <dcterms:created xsi:type="dcterms:W3CDTF">2021-05-16T17:43:37Z</dcterms:created>
  <dcterms:modified xsi:type="dcterms:W3CDTF">2025-11-16T23:07:15Z</dcterms:modified>
</cp:coreProperties>
</file>